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sson\Desktop\UPHES\Data\UPCs\"/>
    </mc:Choice>
  </mc:AlternateContent>
  <xr:revisionPtr revIDLastSave="0" documentId="8_{20A33135-D8C6-45D4-95FD-AC7DB50D071D}" xr6:coauthVersionLast="47" xr6:coauthVersionMax="47" xr10:uidLastSave="{00000000-0000-0000-0000-000000000000}"/>
  <bookViews>
    <workbookView xWindow="834" yWindow="6384" windowWidth="22302" windowHeight="13152" xr2:uid="{FE31DC98-0E0F-4763-AD87-08A77FAB1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7" i="1"/>
  <c r="E6" i="1"/>
  <c r="E5" i="1"/>
</calcChain>
</file>

<file path=xl/sharedStrings.xml><?xml version="1.0" encoding="utf-8"?>
<sst xmlns="http://schemas.openxmlformats.org/spreadsheetml/2006/main" count="57" uniqueCount="34">
  <si>
    <t>模型</t>
  </si>
  <si>
    <t>Plane</t>
  </si>
  <si>
    <t>方程</t>
  </si>
  <si>
    <t>z=z0+a*x+b*y;</t>
  </si>
  <si>
    <t>绘图</t>
  </si>
  <si>
    <t>z0</t>
  </si>
  <si>
    <t>7.0805 ± 0.03618</t>
  </si>
  <si>
    <t>a</t>
  </si>
  <si>
    <t>-0.09546 ± 6.62173E-4</t>
  </si>
  <si>
    <t>b</t>
  </si>
  <si>
    <t>1.62748 ± 0.00563</t>
  </si>
  <si>
    <t>Reduced Chi-Sqr</t>
  </si>
  <si>
    <t>R平方(COD)</t>
  </si>
  <si>
    <t>调整后R平方</t>
  </si>
  <si>
    <t>Pump</t>
  </si>
  <si>
    <t>Sheet1</t>
  </si>
  <si>
    <t>-10.00505 ± 0.03961</t>
  </si>
  <si>
    <t>0.11925 ± 0.00117</t>
  </si>
  <si>
    <t>1.33697 ± 0.00967</t>
  </si>
  <si>
    <t>Turbine</t>
  </si>
  <si>
    <t>z</t>
  </si>
  <si>
    <t>x</t>
  </si>
  <si>
    <t>y</t>
  </si>
  <si>
    <t>Head level</t>
  </si>
  <si>
    <t>m</t>
  </si>
  <si>
    <t>MW</t>
  </si>
  <si>
    <t>Power</t>
  </si>
  <si>
    <t>Flow rate</t>
  </si>
  <si>
    <t>m3/s</t>
  </si>
  <si>
    <t>A</t>
  </si>
  <si>
    <t>B</t>
  </si>
  <si>
    <t>C</t>
  </si>
  <si>
    <t>p=Aq+Bh+C</t>
  </si>
  <si>
    <t>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</si>
</sst>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0499-ADC0-41C9-BAAA-27F47D78A512}">
  <dimension ref="A1:I27"/>
  <sheetViews>
    <sheetView tabSelected="1" workbookViewId="0">
      <selection activeCell="H16" sqref="H16"/>
    </sheetView>
  </sheetViews>
  <sheetFormatPr defaultRowHeight="14.4" x14ac:dyDescent="0.3"/>
  <cols>
    <col min="1" max="1" width="17.88671875" style="2" bestFit="1" customWidth="1"/>
    <col min="2" max="2" width="24.6640625" style="2" bestFit="1" customWidth="1"/>
    <col min="3" max="3" width="9.88671875" style="3" bestFit="1" customWidth="1"/>
    <col min="4" max="4" width="8.88671875" style="2"/>
    <col min="5" max="5" width="14.44140625" style="2" bestFit="1" customWidth="1"/>
    <col min="6" max="7" width="8.88671875" style="2"/>
    <col min="8" max="8" width="12.109375" style="2" bestFit="1" customWidth="1"/>
    <col min="9" max="16384" width="8.88671875" style="2"/>
  </cols>
  <sheetData>
    <row r="1" spans="1:9" x14ac:dyDescent="0.3">
      <c r="A1" s="1" t="s">
        <v>14</v>
      </c>
      <c r="B1" s="1"/>
    </row>
    <row r="2" spans="1:9" x14ac:dyDescent="0.3">
      <c r="A2" s="2" t="s">
        <v>0</v>
      </c>
      <c r="B2" s="2" t="s">
        <v>1</v>
      </c>
      <c r="G2" s="2" t="s">
        <v>21</v>
      </c>
      <c r="H2" s="2" t="s">
        <v>23</v>
      </c>
      <c r="I2" s="2" t="s">
        <v>24</v>
      </c>
    </row>
    <row r="3" spans="1:9" x14ac:dyDescent="0.3">
      <c r="A3" s="2" t="s">
        <v>2</v>
      </c>
      <c r="B3" s="2" t="s">
        <v>3</v>
      </c>
      <c r="G3" s="2" t="s">
        <v>22</v>
      </c>
      <c r="H3" s="2" t="s">
        <v>26</v>
      </c>
      <c r="I3" s="2" t="s">
        <v>25</v>
      </c>
    </row>
    <row r="4" spans="1:9" x14ac:dyDescent="0.3">
      <c r="A4" s="2" t="s">
        <v>4</v>
      </c>
      <c r="B4" s="2" t="s">
        <v>15</v>
      </c>
      <c r="C4" s="3" t="s">
        <v>2</v>
      </c>
      <c r="D4" s="1" t="s">
        <v>32</v>
      </c>
      <c r="E4" s="1"/>
      <c r="G4" s="2" t="s">
        <v>20</v>
      </c>
      <c r="H4" s="2" t="s">
        <v>27</v>
      </c>
      <c r="I4" s="2" t="s">
        <v>28</v>
      </c>
    </row>
    <row r="5" spans="1:9" x14ac:dyDescent="0.3">
      <c r="A5" s="2" t="s">
        <v>5</v>
      </c>
      <c r="B5" s="2" t="s">
        <v>16</v>
      </c>
      <c r="C5" s="3">
        <v>-10.005050000000001</v>
      </c>
      <c r="D5" s="2" t="s">
        <v>29</v>
      </c>
      <c r="E5" s="2">
        <f>1/C7</f>
        <v>0.74795993926565296</v>
      </c>
    </row>
    <row r="6" spans="1:9" x14ac:dyDescent="0.3">
      <c r="A6" s="2" t="s">
        <v>7</v>
      </c>
      <c r="B6" s="2" t="s">
        <v>17</v>
      </c>
      <c r="C6" s="3">
        <v>0.11924999999999999</v>
      </c>
      <c r="D6" s="2" t="s">
        <v>30</v>
      </c>
      <c r="E6" s="2">
        <f>-C6/C7</f>
        <v>-8.9194222757429109E-2</v>
      </c>
    </row>
    <row r="7" spans="1:9" x14ac:dyDescent="0.3">
      <c r="A7" s="2" t="s">
        <v>9</v>
      </c>
      <c r="B7" s="2" t="s">
        <v>18</v>
      </c>
      <c r="C7" s="3">
        <v>1.33697</v>
      </c>
      <c r="D7" s="2" t="s">
        <v>31</v>
      </c>
      <c r="E7" s="2">
        <f>-C5/C7</f>
        <v>7.4833765903498213</v>
      </c>
    </row>
    <row r="8" spans="1:9" x14ac:dyDescent="0.3">
      <c r="A8" s="2" t="s">
        <v>11</v>
      </c>
      <c r="B8" s="2">
        <v>0.19844000000000001</v>
      </c>
    </row>
    <row r="9" spans="1:9" x14ac:dyDescent="0.3">
      <c r="A9" s="2" t="s">
        <v>12</v>
      </c>
      <c r="B9" s="2">
        <v>0.77988999999999997</v>
      </c>
    </row>
    <row r="10" spans="1:9" x14ac:dyDescent="0.3">
      <c r="A10" s="2" t="s">
        <v>13</v>
      </c>
      <c r="B10" s="2">
        <v>0.77983000000000002</v>
      </c>
    </row>
    <row r="12" spans="1:9" x14ac:dyDescent="0.3">
      <c r="A12" s="1" t="s">
        <v>19</v>
      </c>
      <c r="B12" s="1"/>
    </row>
    <row r="13" spans="1:9" x14ac:dyDescent="0.3">
      <c r="A13" s="2" t="s">
        <v>0</v>
      </c>
      <c r="B13" s="2" t="s">
        <v>1</v>
      </c>
    </row>
    <row r="14" spans="1:9" x14ac:dyDescent="0.3">
      <c r="A14" s="2" t="s">
        <v>2</v>
      </c>
      <c r="B14" s="2" t="s">
        <v>3</v>
      </c>
    </row>
    <row r="15" spans="1:9" x14ac:dyDescent="0.3">
      <c r="A15" s="2" t="s">
        <v>4</v>
      </c>
      <c r="B15" s="2" t="s">
        <v>15</v>
      </c>
      <c r="C15" s="3" t="s">
        <v>2</v>
      </c>
      <c r="D15" s="1" t="s">
        <v>32</v>
      </c>
      <c r="E15" s="1"/>
    </row>
    <row r="16" spans="1:9" x14ac:dyDescent="0.3">
      <c r="A16" s="2" t="s">
        <v>5</v>
      </c>
      <c r="B16" s="2" t="s">
        <v>6</v>
      </c>
      <c r="C16" s="3">
        <v>7.0804999999999998</v>
      </c>
      <c r="D16" s="2" t="s">
        <v>29</v>
      </c>
      <c r="E16" s="2">
        <f>1/C18</f>
        <v>0.61444687492319416</v>
      </c>
    </row>
    <row r="17" spans="1:5" x14ac:dyDescent="0.3">
      <c r="A17" s="2" t="s">
        <v>7</v>
      </c>
      <c r="B17" s="2" t="s">
        <v>8</v>
      </c>
      <c r="C17" s="3">
        <v>-9.5460000000000003E-2</v>
      </c>
      <c r="D17" s="2" t="s">
        <v>30</v>
      </c>
      <c r="E17" s="2">
        <f>-C17/C18</f>
        <v>5.8655098680168112E-2</v>
      </c>
    </row>
    <row r="18" spans="1:5" x14ac:dyDescent="0.3">
      <c r="A18" s="2" t="s">
        <v>9</v>
      </c>
      <c r="B18" s="2" t="s">
        <v>10</v>
      </c>
      <c r="C18" s="3">
        <v>1.62748</v>
      </c>
      <c r="D18" s="2" t="s">
        <v>31</v>
      </c>
      <c r="E18" s="2">
        <f>-C16/C18</f>
        <v>-4.3505910978936759</v>
      </c>
    </row>
    <row r="19" spans="1:5" x14ac:dyDescent="0.3">
      <c r="A19" s="2" t="s">
        <v>11</v>
      </c>
      <c r="B19" s="2">
        <v>0.57006000000000001</v>
      </c>
    </row>
    <row r="20" spans="1:5" x14ac:dyDescent="0.3">
      <c r="A20" s="2" t="s">
        <v>12</v>
      </c>
      <c r="B20" s="2">
        <v>0.85784000000000005</v>
      </c>
    </row>
    <row r="21" spans="1:5" x14ac:dyDescent="0.3">
      <c r="A21" s="2" t="s">
        <v>13</v>
      </c>
      <c r="B21" s="2">
        <v>0.85782999999999998</v>
      </c>
    </row>
    <row r="23" spans="1:5" x14ac:dyDescent="0.3">
      <c r="A23" s="1" t="s">
        <v>33</v>
      </c>
      <c r="B23" s="1"/>
    </row>
    <row r="24" spans="1:5" x14ac:dyDescent="0.3">
      <c r="C24" s="3" t="s">
        <v>2</v>
      </c>
      <c r="D24" s="1" t="s">
        <v>32</v>
      </c>
      <c r="E24" s="1"/>
    </row>
    <row r="25" spans="1:5" x14ac:dyDescent="0.3">
      <c r="D25" s="2" t="s">
        <v>29</v>
      </c>
      <c r="E25" s="2">
        <v>0</v>
      </c>
    </row>
    <row r="26" spans="1:5" x14ac:dyDescent="0.3">
      <c r="D26" s="2" t="s">
        <v>30</v>
      </c>
      <c r="E26" s="2">
        <v>0</v>
      </c>
    </row>
    <row r="27" spans="1:5" x14ac:dyDescent="0.3">
      <c r="D27" s="2" t="s">
        <v>31</v>
      </c>
      <c r="E27" s="2">
        <v>0</v>
      </c>
    </row>
  </sheetData>
  <mergeCells count="6">
    <mergeCell ref="A1:B1"/>
    <mergeCell ref="A12:B12"/>
    <mergeCell ref="D4:E4"/>
    <mergeCell ref="D15:E15"/>
    <mergeCell ref="A23:B23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Honghui Zheng</dc:creator>
  <cp:lastModifiedBy>Honghui Zheng</cp:lastModifiedBy>
  <dcterms:created xsi:type="dcterms:W3CDTF">2024-07-10T14:21:21Z</dcterms:created>
  <dcterms:modified xsi:type="dcterms:W3CDTF">2024-07-10T15:40:05Z</dcterms:modified>
</cp:coreProperties>
</file>