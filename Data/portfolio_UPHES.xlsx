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Repositories\DFL-for-UPHES\Data\"/>
    </mc:Choice>
  </mc:AlternateContent>
  <xr:revisionPtr revIDLastSave="0" documentId="13_ncr:1_{3E353237-6D88-4275-A7E3-474BF4F95554}" xr6:coauthVersionLast="47" xr6:coauthVersionMax="47" xr10:uidLastSave="{00000000-0000-0000-0000-000000000000}"/>
  <bookViews>
    <workbookView xWindow="32980" yWindow="980" windowWidth="28800" windowHeight="1529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1" l="1"/>
  <c r="C29" i="1"/>
  <c r="C32" i="1" s="1"/>
  <c r="C12" i="1" s="1"/>
  <c r="C18" i="1"/>
  <c r="C16" i="1"/>
  <c r="C31" i="1" l="1"/>
  <c r="C24" i="1" s="1"/>
  <c r="F19" i="1" l="1"/>
  <c r="C22" i="1"/>
  <c r="F16" i="1" l="1"/>
</calcChain>
</file>

<file path=xl/sharedStrings.xml><?xml version="1.0" encoding="utf-8"?>
<sst xmlns="http://schemas.openxmlformats.org/spreadsheetml/2006/main" count="70" uniqueCount="51">
  <si>
    <t>Description</t>
  </si>
  <si>
    <t>Unit</t>
  </si>
  <si>
    <t>Value of station 1</t>
  </si>
  <si>
    <t>Name of the unit</t>
  </si>
  <si>
    <t>Maizeret</t>
  </si>
  <si>
    <t>water volume in the upper reservoir</t>
  </si>
  <si>
    <t>m³</t>
  </si>
  <si>
    <t>water volume in the lower reservoir</t>
  </si>
  <si>
    <t>Operational costs</t>
  </si>
  <si>
    <t>Euros/MWh</t>
  </si>
  <si>
    <t>nominal power</t>
  </si>
  <si>
    <t>MW</t>
  </si>
  <si>
    <t>upward ramping ability</t>
  </si>
  <si>
    <t>MW/min</t>
  </si>
  <si>
    <t>downward ramping ability</t>
  </si>
  <si>
    <t>mean efficiency of turbine mode</t>
  </si>
  <si>
    <t>[0, 1]</t>
  </si>
  <si>
    <t>mean efficiency of pump mode</t>
  </si>
  <si>
    <t>vertical drop</t>
  </si>
  <si>
    <t>m</t>
  </si>
  <si>
    <t>minimum head value</t>
  </si>
  <si>
    <t>maximum head value</t>
  </si>
  <si>
    <t>minimum water capacity of upper reservoir</t>
  </si>
  <si>
    <t>maximum water capacity of upper reservoir</t>
  </si>
  <si>
    <t>minimum water capacity of lower reservoir</t>
  </si>
  <si>
    <t>maximum water capacity of lower reservoir</t>
  </si>
  <si>
    <t>maximum water flows in turbine mode</t>
  </si>
  <si>
    <t>m³/sec</t>
  </si>
  <si>
    <t>maximum water flows in pump mode</t>
  </si>
  <si>
    <t>Geometry of upper resevoir</t>
  </si>
  <si>
    <t>shape</t>
  </si>
  <si>
    <t>m²</t>
  </si>
  <si>
    <t>Geometry of lower resevoir</t>
  </si>
  <si>
    <t>concrete-faced rockfill dam</t>
  </si>
  <si>
    <t>Dead water level of upper resevoir</t>
  </si>
  <si>
    <t>Normal water level of upper resevoir</t>
  </si>
  <si>
    <t>half-full level of lower resevoir</t>
  </si>
  <si>
    <t>Normal water level of lower resevoir</t>
  </si>
  <si>
    <t>Dead water level of lower resevoir</t>
  </si>
  <si>
    <t>Surface of the upper reservoir bed</t>
  </si>
  <si>
    <t>number of sperical mines</t>
  </si>
  <si>
    <t>Dmnl</t>
  </si>
  <si>
    <t>connected spherical mine pits</t>
  </si>
  <si>
    <t>slope coefficient m</t>
  </si>
  <si>
    <t>dv:dh=1:m</t>
  </si>
  <si>
    <t>单变量求解</t>
  </si>
  <si>
    <t>Assumptions: 
1. Both upper and lower reservoir could operate in any elevation/volume that satisfies its geometry limit.
2. Set the elevation at the bottom of the lower reservoir as the Normalnull.
3. Head value is set in the range from 50m to 99m.
4. The underground spherical mine pits are identical and aligned horizontally.
5.  The shape of the upper reservoir is simplied to a truncated cone.</t>
  </si>
  <si>
    <t>radius of sperical mines</t>
  </si>
  <si>
    <t>r_up</t>
  </si>
  <si>
    <t>target volume at the end of the day(up)</t>
  </si>
  <si>
    <t>half-full level of upper resevoir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</si>
</sst>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4">
    <font>
      <sz val="11"/>
      <color theme="1"/>
      <name val="等线"/>
      <family val="2"/>
      <scheme val="minor"/>
    </font>
    <font>
      <sz val="11"/>
      <color theme="1"/>
      <name val="Hack"/>
      <family val="3"/>
    </font>
    <font>
      <sz val="11"/>
      <color rgb="FFFF0000"/>
      <name val="Hack"/>
      <family val="3"/>
    </font>
    <font>
      <sz val="9"/>
      <name val="等线"/>
      <family val="3"/>
      <charset val="134"/>
      <scheme val="minor"/>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1" fillId="0" borderId="0" xfId="0" applyFont="1"/>
    <xf numFmtId="0" fontId="1" fillId="0" borderId="0" xfId="0" applyFont="1" applyAlignment="1">
      <alignment horizontal="center" vertical="center"/>
    </xf>
    <xf numFmtId="0" fontId="1" fillId="3" borderId="1" xfId="0" applyFont="1" applyFill="1" applyBorder="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176" fontId="1" fillId="0" borderId="0" xfId="0" applyNumberFormat="1" applyFont="1" applyAlignment="1">
      <alignment horizontal="center" vertical="center"/>
    </xf>
    <xf numFmtId="0" fontId="1" fillId="0" borderId="0" xfId="0" applyFont="1" applyAlignment="1">
      <alignment horizontal="left" wrapText="1"/>
    </xf>
    <xf numFmtId="0" fontId="2" fillId="3" borderId="1" xfId="0" applyFont="1" applyFill="1" applyBorder="1" applyAlignment="1">
      <alignment horizontal="center" vertical="center"/>
    </xf>
    <xf numFmtId="176" fontId="1" fillId="0" borderId="0" xfId="0" applyNumberFormat="1" applyFont="1"/>
    <xf numFmtId="176" fontId="2" fillId="0" borderId="0" xfId="0" applyNumberFormat="1" applyFont="1" applyAlignment="1">
      <alignment horizontal="center" vertical="center"/>
    </xf>
    <xf numFmtId="0" fontId="2" fillId="4"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510210</xdr:colOff>
      <xdr:row>10</xdr:row>
      <xdr:rowOff>58253</xdr:rowOff>
    </xdr:from>
    <xdr:to>
      <xdr:col>7</xdr:col>
      <xdr:colOff>339586</xdr:colOff>
      <xdr:row>21</xdr:row>
      <xdr:rowOff>126891</xdr:rowOff>
    </xdr:to>
    <xdr:pic>
      <xdr:nvPicPr>
        <xdr:cNvPr id="4" name="图片 3" descr="Characteristics of a reservoir: relationship between water level and storage capacity. Reservoir operation begins after the calculation of the subbasin routing and provides water use resources. ">
          <a:extLst>
            <a:ext uri="{FF2B5EF4-FFF2-40B4-BE49-F238E27FC236}">
              <a16:creationId xmlns:a16="http://schemas.microsoft.com/office/drawing/2014/main" id="{538DD1C3-AECF-3981-D50C-3F1EF12CF7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0975" y="1781036"/>
          <a:ext cx="2671968" cy="1976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topLeftCell="A7" zoomScale="115" zoomScaleNormal="115" workbookViewId="0">
      <selection activeCell="C23" sqref="C23"/>
    </sheetView>
  </sheetViews>
  <sheetFormatPr defaultColWidth="8.86328125" defaultRowHeight="14.25"/>
  <cols>
    <col min="1" max="1" width="52.19921875" style="5" bestFit="1" customWidth="1"/>
    <col min="2" max="2" width="12" style="2" bestFit="1" customWidth="1"/>
    <col min="3" max="3" width="37.1328125" style="5" bestFit="1" customWidth="1"/>
    <col min="4" max="4" width="14.53125" style="2" bestFit="1" customWidth="1"/>
    <col min="5" max="5" width="8.86328125" style="2"/>
    <col min="6" max="6" width="9.1328125" style="2" customWidth="1"/>
    <col min="7" max="16384" width="8.86328125" style="2"/>
  </cols>
  <sheetData>
    <row r="1" spans="1:6">
      <c r="A1" s="1" t="s">
        <v>0</v>
      </c>
      <c r="B1" s="1" t="s">
        <v>1</v>
      </c>
      <c r="C1" s="1" t="s">
        <v>2</v>
      </c>
    </row>
    <row r="2" spans="1:6">
      <c r="A2" s="3" t="s">
        <v>3</v>
      </c>
      <c r="B2" s="3"/>
      <c r="C2" s="6" t="s">
        <v>4</v>
      </c>
    </row>
    <row r="3" spans="1:6">
      <c r="A3" s="4" t="s">
        <v>5</v>
      </c>
      <c r="B3" s="4" t="s">
        <v>6</v>
      </c>
      <c r="C3" s="9">
        <v>294000</v>
      </c>
    </row>
    <row r="4" spans="1:6">
      <c r="A4" s="4" t="s">
        <v>7</v>
      </c>
      <c r="B4" s="4" t="s">
        <v>6</v>
      </c>
      <c r="C4" s="9">
        <v>294000</v>
      </c>
    </row>
    <row r="5" spans="1:6">
      <c r="A5" s="4" t="s">
        <v>49</v>
      </c>
      <c r="B5" s="4" t="s">
        <v>6</v>
      </c>
      <c r="C5" s="9">
        <v>138180</v>
      </c>
    </row>
    <row r="6" spans="1:6">
      <c r="A6" s="3" t="s">
        <v>8</v>
      </c>
      <c r="B6" s="3" t="s">
        <v>9</v>
      </c>
      <c r="C6" s="6">
        <v>3.8</v>
      </c>
    </row>
    <row r="7" spans="1:6">
      <c r="A7" s="3" t="s">
        <v>10</v>
      </c>
      <c r="B7" s="3" t="s">
        <v>11</v>
      </c>
      <c r="C7" s="6">
        <v>10</v>
      </c>
    </row>
    <row r="8" spans="1:6">
      <c r="A8" s="3" t="s">
        <v>12</v>
      </c>
      <c r="B8" s="3" t="s">
        <v>13</v>
      </c>
      <c r="C8" s="6">
        <v>1</v>
      </c>
    </row>
    <row r="9" spans="1:6">
      <c r="A9" s="3" t="s">
        <v>14</v>
      </c>
      <c r="B9" s="3" t="s">
        <v>13</v>
      </c>
      <c r="C9" s="6">
        <v>0.5</v>
      </c>
    </row>
    <row r="10" spans="1:6">
      <c r="A10" s="3" t="s">
        <v>15</v>
      </c>
      <c r="B10" s="3" t="s">
        <v>16</v>
      </c>
      <c r="C10" s="6">
        <v>0.93700000000000006</v>
      </c>
    </row>
    <row r="11" spans="1:6">
      <c r="A11" s="3" t="s">
        <v>17</v>
      </c>
      <c r="B11" s="3" t="s">
        <v>16</v>
      </c>
      <c r="C11" s="6">
        <v>0.9375</v>
      </c>
    </row>
    <row r="12" spans="1:6">
      <c r="A12" s="3" t="s">
        <v>18</v>
      </c>
      <c r="B12" s="3" t="s">
        <v>19</v>
      </c>
      <c r="C12" s="7">
        <f>C26-C32</f>
        <v>80.793973069991551</v>
      </c>
      <c r="F12"/>
    </row>
    <row r="13" spans="1:6">
      <c r="A13" s="3" t="s">
        <v>20</v>
      </c>
      <c r="B13" s="3" t="s">
        <v>19</v>
      </c>
      <c r="C13" s="6">
        <v>50</v>
      </c>
    </row>
    <row r="14" spans="1:6">
      <c r="A14" s="3" t="s">
        <v>21</v>
      </c>
      <c r="B14" s="3" t="s">
        <v>19</v>
      </c>
      <c r="C14" s="6">
        <v>99</v>
      </c>
    </row>
    <row r="15" spans="1:6">
      <c r="A15" s="3" t="s">
        <v>22</v>
      </c>
      <c r="B15" s="3" t="s">
        <v>6</v>
      </c>
      <c r="C15" s="6">
        <v>0</v>
      </c>
      <c r="F15" s="2" t="s">
        <v>45</v>
      </c>
    </row>
    <row r="16" spans="1:6">
      <c r="A16" s="3" t="s">
        <v>23</v>
      </c>
      <c r="B16" s="3" t="s">
        <v>6</v>
      </c>
      <c r="C16" s="3">
        <f>C3*2</f>
        <v>588000</v>
      </c>
      <c r="F16" s="2">
        <f>(C26-C24)*PI()/3*(C23^2*(C26-C24)^2+3*C23*(C26-C24)*(-0.5*C23*(C25-C24)+1/6*SQRT(36*C16/(C25-C24)/PI()-3*C23^2*(C25-C24)^2))+3*(-0.5*C23*(C25-C24)+1/6*SQRT(36*C16/(C25-C24)/PI()-3*C23^2*(C25-C24)^2))^2)</f>
        <v>365906.69855701132</v>
      </c>
    </row>
    <row r="17" spans="1:6">
      <c r="A17" s="3" t="s">
        <v>24</v>
      </c>
      <c r="B17" s="3" t="s">
        <v>6</v>
      </c>
      <c r="C17" s="6">
        <v>0</v>
      </c>
    </row>
    <row r="18" spans="1:6">
      <c r="A18" s="3" t="s">
        <v>25</v>
      </c>
      <c r="B18" s="3" t="s">
        <v>6</v>
      </c>
      <c r="C18" s="3">
        <f>C4*2</f>
        <v>588000</v>
      </c>
      <c r="F18" s="2" t="s">
        <v>48</v>
      </c>
    </row>
    <row r="19" spans="1:6">
      <c r="A19" s="3" t="s">
        <v>26</v>
      </c>
      <c r="B19" s="3" t="s">
        <v>27</v>
      </c>
      <c r="C19" s="6">
        <v>12</v>
      </c>
      <c r="F19" s="2">
        <f>(-0.5*C23*(C25-C24)+1/6*SQRT(36*C16/(C25-C24)/PI()-3*C23^2*(C25-C24)^2))</f>
        <v>58.779987115799145</v>
      </c>
    </row>
    <row r="20" spans="1:6">
      <c r="A20" s="3" t="s">
        <v>28</v>
      </c>
      <c r="B20" s="3" t="s">
        <v>27</v>
      </c>
      <c r="C20" s="6">
        <v>12</v>
      </c>
    </row>
    <row r="21" spans="1:6">
      <c r="A21" s="3" t="s">
        <v>29</v>
      </c>
      <c r="B21" s="3" t="s">
        <v>30</v>
      </c>
      <c r="C21" s="6" t="s">
        <v>33</v>
      </c>
    </row>
    <row r="22" spans="1:6">
      <c r="A22" s="3" t="s">
        <v>39</v>
      </c>
      <c r="B22" s="3" t="s">
        <v>31</v>
      </c>
      <c r="C22" s="7">
        <f>PI()*(-0.5*C23*(C25-C24)+1/6*SQRT(36*C16/(C25-C24)/PI()-3*C23^2*(C25-C24)^2))^2</f>
        <v>10854.475576478206</v>
      </c>
    </row>
    <row r="23" spans="1:6">
      <c r="A23" s="3" t="s">
        <v>43</v>
      </c>
      <c r="B23" s="3" t="s">
        <v>44</v>
      </c>
      <c r="C23" s="12">
        <v>1.8</v>
      </c>
    </row>
    <row r="24" spans="1:6">
      <c r="A24" s="3" t="s">
        <v>34</v>
      </c>
      <c r="B24" s="3" t="s">
        <v>19</v>
      </c>
      <c r="C24" s="7">
        <f>C31+C13</f>
        <v>72.393719530024114</v>
      </c>
    </row>
    <row r="25" spans="1:6">
      <c r="A25" s="3" t="s">
        <v>35</v>
      </c>
      <c r="B25" s="3" t="s">
        <v>19</v>
      </c>
      <c r="C25" s="3">
        <f>C14</f>
        <v>99</v>
      </c>
      <c r="D25" s="10"/>
    </row>
    <row r="26" spans="1:6">
      <c r="A26" s="3" t="s">
        <v>50</v>
      </c>
      <c r="B26" s="3" t="s">
        <v>19</v>
      </c>
      <c r="C26" s="7">
        <v>91.990832835003602</v>
      </c>
      <c r="D26" s="10"/>
    </row>
    <row r="27" spans="1:6">
      <c r="A27" s="3" t="s">
        <v>32</v>
      </c>
      <c r="B27" s="3" t="s">
        <v>30</v>
      </c>
      <c r="C27" s="6" t="s">
        <v>42</v>
      </c>
    </row>
    <row r="28" spans="1:6">
      <c r="A28" s="3" t="s">
        <v>40</v>
      </c>
      <c r="B28" s="3" t="s">
        <v>41</v>
      </c>
      <c r="C28" s="12">
        <v>100</v>
      </c>
    </row>
    <row r="29" spans="1:6">
      <c r="A29" s="3" t="s">
        <v>47</v>
      </c>
      <c r="B29" s="3" t="s">
        <v>19</v>
      </c>
      <c r="C29" s="7">
        <f>(3*C18/C28/4/PI())^(1/3)</f>
        <v>11.196859765012055</v>
      </c>
      <c r="D29" s="7"/>
    </row>
    <row r="30" spans="1:6">
      <c r="A30" s="3" t="s">
        <v>38</v>
      </c>
      <c r="B30" s="3" t="s">
        <v>19</v>
      </c>
      <c r="C30" s="11">
        <v>0</v>
      </c>
      <c r="D30" s="10"/>
    </row>
    <row r="31" spans="1:6">
      <c r="A31" s="3" t="s">
        <v>37</v>
      </c>
      <c r="B31" s="3" t="s">
        <v>19</v>
      </c>
      <c r="C31" s="7">
        <f>C29*2</f>
        <v>22.393719530024111</v>
      </c>
    </row>
    <row r="32" spans="1:6">
      <c r="A32" s="3" t="s">
        <v>36</v>
      </c>
      <c r="B32" s="3" t="s">
        <v>19</v>
      </c>
      <c r="C32" s="7">
        <f>C29</f>
        <v>11.196859765012055</v>
      </c>
    </row>
    <row r="35" spans="1:1" ht="171">
      <c r="A35" s="8" t="s">
        <v>46</v>
      </c>
    </row>
  </sheetData>
  <phoneticPr fontId="3" type="noConversion"/>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Ericsson</dc:creator>
  <cp:lastModifiedBy>Honghui Zheng</cp:lastModifiedBy>
  <dcterms:created xsi:type="dcterms:W3CDTF">2015-06-05T18:17:20Z</dcterms:created>
  <dcterms:modified xsi:type="dcterms:W3CDTF">2025-12-17T06:49:45Z</dcterms:modified>
</cp:coreProperties>
</file>